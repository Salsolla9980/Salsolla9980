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lvatoresolla/Desktop/DATA ANALYST/"/>
    </mc:Choice>
  </mc:AlternateContent>
  <xr:revisionPtr revIDLastSave="0" documentId="13_ncr:1_{D77F0283-62B5-5144-AC63-76784642C953}" xr6:coauthVersionLast="47" xr6:coauthVersionMax="47" xr10:uidLastSave="{00000000-0000-0000-0000-000000000000}"/>
  <bookViews>
    <workbookView xWindow="-6060" yWindow="-21100" windowWidth="38400" windowHeight="21100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Frutta!$A$1:$E$47</definedName>
    <definedName name="Categoria">Parcheggio!$G$2:$G$4</definedName>
    <definedName name="Cerca">Parcheggio!$B$2:$C$101</definedName>
    <definedName name="Costo">Parcheggio!$G$2:$H$4</definedName>
    <definedName name="Minuti">Parcheggio!$H$2:$H$4</definedName>
    <definedName name="Ore">Parcheggio!$B$2:$B$101</definedName>
    <definedName name="Prezzo">Parcheggio!$F$2:$F$4</definedName>
    <definedName name="Tipo">Parcheggio!$C$2:$C$101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E20" i="2"/>
  <c r="E11" i="2"/>
  <c r="E12" i="2"/>
  <c r="E13" i="2"/>
  <c r="E14" i="2"/>
  <c r="E15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<sst xmlns="http://schemas.openxmlformats.org/spreadsheetml/2006/main" count="170" uniqueCount="116">
  <si>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</si>
  <si>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</si>
  <si>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</si>
  <si>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</si>
  <si>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</si>
  <si>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</si>
  <si>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</si>
  <si>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</si>
  <si>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</si>
  <si>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</si>
  <si>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</si>
  <si>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</si>
  <si>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</si>
  <si>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</si>
  <si>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</si>
  <si>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</si>
  <si>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</si>
  <si>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</si>
  <si>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</si>
  <si>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</si>
  <si>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</si>
  <si>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</si>
  <si>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</si>
  <si>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</si>
  <si>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</si>
  <si>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</si>
  <si>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</si>
  <si>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</si>
  <si>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</si>
  <si>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</si>
  <si>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</si>
  <si>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</si>
  <si>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</si>
  <si>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</si>
  <si>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</si>
  <si>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</si>
  <si>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</si>
  <si>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</si>
  <si>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</si>
  <si>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</si>
  <si>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</si>
  <si>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</si>
  <si>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</si>
  <si>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</si>
  <si>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</si>
  <si>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</si>
  <si>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</si>
  <si>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</si>
  <si>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</si>
  <si>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</si>
  <si>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</si>
  <si>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</si>
  <si>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</si>
  <si>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</si>
  <si>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</si>
  <si>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</si>
  <si>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</si>
  <si>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</si>
  <si>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</si>
  <si>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</si>
  <si>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</si>
  <si>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</si>
  <si>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</si>
  <si>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</si>
  <si>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</si>
  <si>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</si>
  <si>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</si>
  <si>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</si>
  <si>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</si>
  <si>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</si>
  <si>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</si>
  <si>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</si>
  <si>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</si>
  <si>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</si>
  <si>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</si>
  <si>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</si>
  <si>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</si>
  <si>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</si>
  <si>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</si>
  <si>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</si>
  <si>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</si>
  <si>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</si>
  <si>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</si>
  <si>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</si>
  <si>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</si>
  <si>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</si>
  <si>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</si>
  <si>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</si>
  <si>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</si>
  <si>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</si>
  <si>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</si>
  <si>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</si>
  <si>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</si>
  <si>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</si>
  <si>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</si>
  <si>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</si>
  <si>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</si>
  <si>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</si>
  <si>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</si>
  <si>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</si>
  <si>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</si>
  <si>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</si>
  <si>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</si>
  <si>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</si>
  <si>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</si>
  <si>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</si>
  <si>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</si>
  <si>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</si>
  <si>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</si>
  <si>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</si>
  <si>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Conteggio</t>
  </si>
  <si>
    <t>Frutta</t>
  </si>
  <si>
    <t>Totale di ogni frutto</t>
  </si>
  <si>
    <t>Peso superiore ad 80</t>
  </si>
  <si>
    <t>CATEGORIA</t>
  </si>
  <si>
    <t>COSTO AD 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</si>
</sst>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5" fillId="0" borderId="0" xfId="0" applyFont="1"/>
    <xf numFmtId="0" fontId="3" fillId="2" borderId="1" xfId="0" applyFont="1" applyFill="1" applyBorder="1"/>
    <xf numFmtId="0" fontId="1" fillId="2" borderId="0" xfId="0" applyFont="1" applyFill="1"/>
    <xf numFmtId="0" fontId="4" fillId="2" borderId="0" xfId="0" applyFont="1" applyFill="1"/>
    <xf numFmtId="0" fontId="3" fillId="3" borderId="1" xfId="0" applyFont="1" applyFill="1" applyBorder="1"/>
    <xf numFmtId="44" fontId="0" fillId="0" borderId="0" xfId="1" applyFont="1"/>
    <xf numFmtId="44" fontId="3" fillId="0" borderId="0" xfId="1" applyFont="1"/>
    <xf numFmtId="2" fontId="2" fillId="0" borderId="0" xfId="0" applyNumberFormat="1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44" fontId="0" fillId="2" borderId="1" xfId="1" applyFont="1" applyFill="1" applyBorder="1"/>
    <xf numFmtId="0" fontId="3" fillId="2" borderId="1" xfId="1" applyNumberFormat="1" applyFont="1" applyFill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workbookViewId="0">
      <selection activeCell="F10" sqref="F10"/>
    </sheetView>
  </sheetViews>
  <sheetFormatPr baseColWidth="10" defaultColWidth="12.6640625" defaultRowHeight="15.75" customHeight="1" x14ac:dyDescent="0.15"/>
  <cols>
    <col min="2" max="2" width="25.33203125" customWidth="1"/>
    <col min="3" max="3" width="20.5" bestFit="1" customWidth="1"/>
    <col min="4" max="4" width="22.1640625" customWidth="1"/>
    <col min="8" max="8" width="17.1640625" bestFit="1" customWidth="1"/>
  </cols>
  <sheetData>
    <row r="1" spans="1:26" ht="15.75" customHeight="1" x14ac:dyDescent="0.15">
      <c r="A1" s="12" t="s">
        <v>0</v>
      </c>
      <c r="B1" s="12" t="s">
        <v>1</v>
      </c>
      <c r="C1" s="13" t="s">
        <v>2</v>
      </c>
      <c r="D1" s="12" t="s">
        <v>3</v>
      </c>
      <c r="E1" s="13"/>
      <c r="F1" s="12"/>
      <c r="G1" s="13" t="s">
        <v>114</v>
      </c>
      <c r="H1" s="13" t="s">
        <v>115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</v>
      </c>
      <c r="B2" s="11">
        <v>1.5</v>
      </c>
      <c r="C2" s="3">
        <f>IF(AND(LEFT(A2,1)&gt;="A",LEFT(A2,1)&lt;="F"),0,IF(AND(LEFT(A2,1)&gt;="G",LEFT(A2,1)&lt;="M"),1,IF(AND(LEFT(A2,1)&gt;="N",LEFT(A2,1)&lt;="Z"),2,)))</f>
        <v>0</v>
      </c>
      <c r="D2" s="14">
        <f t="shared" ref="D2:D33" si="0">B2*(VLOOKUP(C2,Costo,2))</f>
        <v>6</v>
      </c>
      <c r="F2" s="10"/>
      <c r="G2" s="3">
        <v>0</v>
      </c>
      <c r="H2" s="15">
        <v>4</v>
      </c>
    </row>
    <row r="3" spans="1:26" ht="15.75" customHeight="1" x14ac:dyDescent="0.15">
      <c r="A3" s="2" t="s">
        <v>5</v>
      </c>
      <c r="B3" s="11">
        <v>2.5</v>
      </c>
      <c r="C3" s="3">
        <f t="shared" ref="C3:C66" si="1">IF(AND(LEFT(A3,1)&gt;="A",LEFT(A3,1)&lt;="F"),0,IF(AND(LEFT(A3,1)&gt;="G",LEFT(A3,1)&lt;="M"),1,IF(AND(LEFT(A3,1)&gt;="N",LEFT(A3,1)&lt;="Z"),2,)))</f>
        <v>1</v>
      </c>
      <c r="D3" s="14">
        <f t="shared" si="0"/>
        <v>7.5</v>
      </c>
      <c r="F3" s="9"/>
      <c r="G3" s="3">
        <v>1</v>
      </c>
      <c r="H3" s="15">
        <v>3</v>
      </c>
    </row>
    <row r="4" spans="1:26" ht="15.75" customHeight="1" x14ac:dyDescent="0.15">
      <c r="A4" s="2" t="s">
        <v>6</v>
      </c>
      <c r="B4" s="11">
        <v>3.5</v>
      </c>
      <c r="C4" s="3">
        <f t="shared" si="1"/>
        <v>2</v>
      </c>
      <c r="D4" s="14">
        <f t="shared" si="0"/>
        <v>7</v>
      </c>
      <c r="F4" s="9"/>
      <c r="G4" s="3">
        <v>2</v>
      </c>
      <c r="H4" s="15">
        <v>2</v>
      </c>
    </row>
    <row r="5" spans="1:26" ht="15.75" customHeight="1" x14ac:dyDescent="0.15">
      <c r="A5" s="2" t="s">
        <v>7</v>
      </c>
      <c r="B5" s="11">
        <v>4.5</v>
      </c>
      <c r="C5" s="3">
        <f t="shared" si="1"/>
        <v>2</v>
      </c>
      <c r="D5" s="14">
        <f t="shared" si="0"/>
        <v>9</v>
      </c>
    </row>
    <row r="6" spans="1:26" ht="15.75" customHeight="1" x14ac:dyDescent="0.15">
      <c r="A6" s="2" t="s">
        <v>8</v>
      </c>
      <c r="B6" s="11">
        <v>5.5</v>
      </c>
      <c r="C6" s="3">
        <f t="shared" si="1"/>
        <v>2</v>
      </c>
      <c r="D6" s="14">
        <f t="shared" si="0"/>
        <v>11</v>
      </c>
    </row>
    <row r="7" spans="1:26" ht="15.75" customHeight="1" x14ac:dyDescent="0.15">
      <c r="A7" s="2" t="s">
        <v>9</v>
      </c>
      <c r="B7" s="11">
        <v>6.5</v>
      </c>
      <c r="C7" s="3">
        <f t="shared" si="1"/>
        <v>2</v>
      </c>
      <c r="D7" s="14">
        <f t="shared" si="0"/>
        <v>13</v>
      </c>
    </row>
    <row r="8" spans="1:26" ht="15.75" customHeight="1" x14ac:dyDescent="0.15">
      <c r="A8" s="2" t="s">
        <v>10</v>
      </c>
      <c r="B8" s="11">
        <v>7.5</v>
      </c>
      <c r="C8" s="3">
        <f t="shared" si="1"/>
        <v>0</v>
      </c>
      <c r="D8" s="14">
        <f t="shared" si="0"/>
        <v>30</v>
      </c>
    </row>
    <row r="9" spans="1:26" ht="15.75" customHeight="1" x14ac:dyDescent="0.15">
      <c r="A9" s="2" t="s">
        <v>11</v>
      </c>
      <c r="B9" s="11">
        <v>8.5</v>
      </c>
      <c r="C9" s="3">
        <f t="shared" si="1"/>
        <v>0</v>
      </c>
      <c r="D9" s="14">
        <f t="shared" si="0"/>
        <v>34</v>
      </c>
    </row>
    <row r="10" spans="1:26" ht="15.75" customHeight="1" x14ac:dyDescent="0.15">
      <c r="A10" s="2" t="s">
        <v>12</v>
      </c>
      <c r="B10" s="11">
        <v>9.5</v>
      </c>
      <c r="C10" s="3">
        <f t="shared" si="1"/>
        <v>0</v>
      </c>
      <c r="D10" s="14">
        <f t="shared" si="0"/>
        <v>38</v>
      </c>
    </row>
    <row r="11" spans="1:26" ht="15.75" customHeight="1" x14ac:dyDescent="0.15">
      <c r="A11" s="2" t="s">
        <v>13</v>
      </c>
      <c r="B11" s="11">
        <v>10</v>
      </c>
      <c r="C11" s="3">
        <f t="shared" si="1"/>
        <v>1</v>
      </c>
      <c r="D11" s="14">
        <f t="shared" si="0"/>
        <v>30</v>
      </c>
    </row>
    <row r="12" spans="1:26" ht="15.75" customHeight="1" x14ac:dyDescent="0.15">
      <c r="A12" s="2" t="s">
        <v>14</v>
      </c>
      <c r="B12" s="11">
        <v>0.5</v>
      </c>
      <c r="C12" s="3">
        <f t="shared" si="1"/>
        <v>1</v>
      </c>
      <c r="D12" s="14">
        <f t="shared" si="0"/>
        <v>1.5</v>
      </c>
    </row>
    <row r="13" spans="1:26" ht="15.75" customHeight="1" x14ac:dyDescent="0.15">
      <c r="A13" s="2" t="s">
        <v>15</v>
      </c>
      <c r="B13" s="11">
        <v>1</v>
      </c>
      <c r="C13" s="3">
        <f t="shared" si="1"/>
        <v>1</v>
      </c>
      <c r="D13" s="14">
        <f t="shared" si="0"/>
        <v>3</v>
      </c>
    </row>
    <row r="14" spans="1:26" ht="15.75" customHeight="1" x14ac:dyDescent="0.15">
      <c r="A14" s="2" t="s">
        <v>16</v>
      </c>
      <c r="B14" s="11">
        <v>2</v>
      </c>
      <c r="C14" s="3">
        <f t="shared" si="1"/>
        <v>1</v>
      </c>
      <c r="D14" s="14">
        <f t="shared" si="0"/>
        <v>6</v>
      </c>
    </row>
    <row r="15" spans="1:26" ht="15.75" customHeight="1" x14ac:dyDescent="0.15">
      <c r="A15" s="2" t="s">
        <v>17</v>
      </c>
      <c r="B15" s="11">
        <v>3</v>
      </c>
      <c r="C15" s="3">
        <f t="shared" si="1"/>
        <v>2</v>
      </c>
      <c r="D15" s="14">
        <f t="shared" si="0"/>
        <v>6</v>
      </c>
    </row>
    <row r="16" spans="1:26" ht="15.75" customHeight="1" x14ac:dyDescent="0.15">
      <c r="A16" s="2" t="s">
        <v>18</v>
      </c>
      <c r="B16" s="11">
        <v>4</v>
      </c>
      <c r="C16" s="3">
        <f t="shared" si="1"/>
        <v>2</v>
      </c>
      <c r="D16" s="14">
        <f t="shared" si="0"/>
        <v>8</v>
      </c>
    </row>
    <row r="17" spans="1:4" ht="15.75" customHeight="1" x14ac:dyDescent="0.15">
      <c r="A17" s="2" t="s">
        <v>19</v>
      </c>
      <c r="B17" s="11">
        <v>5</v>
      </c>
      <c r="C17" s="3">
        <f t="shared" si="1"/>
        <v>2</v>
      </c>
      <c r="D17" s="14">
        <f t="shared" si="0"/>
        <v>10</v>
      </c>
    </row>
    <row r="18" spans="1:4" ht="15.75" customHeight="1" x14ac:dyDescent="0.15">
      <c r="A18" s="2" t="s">
        <v>20</v>
      </c>
      <c r="B18" s="11">
        <v>6</v>
      </c>
      <c r="C18" s="3">
        <f t="shared" si="1"/>
        <v>2</v>
      </c>
      <c r="D18" s="14">
        <f t="shared" si="0"/>
        <v>12</v>
      </c>
    </row>
    <row r="19" spans="1:4" ht="15.75" customHeight="1" x14ac:dyDescent="0.15">
      <c r="A19" s="2" t="s">
        <v>21</v>
      </c>
      <c r="B19" s="11">
        <v>7</v>
      </c>
      <c r="C19" s="3">
        <f t="shared" si="1"/>
        <v>2</v>
      </c>
      <c r="D19" s="14">
        <f t="shared" si="0"/>
        <v>14</v>
      </c>
    </row>
    <row r="20" spans="1:4" ht="15.75" customHeight="1" x14ac:dyDescent="0.15">
      <c r="A20" s="2" t="s">
        <v>22</v>
      </c>
      <c r="B20" s="11">
        <v>8</v>
      </c>
      <c r="C20" s="3">
        <f t="shared" si="1"/>
        <v>2</v>
      </c>
      <c r="D20" s="14">
        <f t="shared" si="0"/>
        <v>16</v>
      </c>
    </row>
    <row r="21" spans="1:4" ht="15.75" customHeight="1" x14ac:dyDescent="0.15">
      <c r="A21" s="2" t="s">
        <v>23</v>
      </c>
      <c r="B21" s="11">
        <v>9</v>
      </c>
      <c r="C21" s="3">
        <f t="shared" si="1"/>
        <v>0</v>
      </c>
      <c r="D21" s="14">
        <f t="shared" si="0"/>
        <v>36</v>
      </c>
    </row>
    <row r="22" spans="1:4" ht="15.75" customHeight="1" x14ac:dyDescent="0.15">
      <c r="A22" s="2" t="s">
        <v>24</v>
      </c>
      <c r="B22" s="11">
        <v>10</v>
      </c>
      <c r="C22" s="3">
        <f t="shared" si="1"/>
        <v>0</v>
      </c>
      <c r="D22" s="14">
        <f t="shared" si="0"/>
        <v>40</v>
      </c>
    </row>
    <row r="23" spans="1:4" ht="15.75" customHeight="1" x14ac:dyDescent="0.15">
      <c r="A23" s="2" t="s">
        <v>25</v>
      </c>
      <c r="B23" s="11">
        <v>0.5</v>
      </c>
      <c r="C23" s="3">
        <f t="shared" si="1"/>
        <v>0</v>
      </c>
      <c r="D23" s="14">
        <f t="shared" si="0"/>
        <v>2</v>
      </c>
    </row>
    <row r="24" spans="1:4" ht="15.75" customHeight="1" x14ac:dyDescent="0.15">
      <c r="A24" s="2" t="s">
        <v>26</v>
      </c>
      <c r="B24" s="11">
        <v>1</v>
      </c>
      <c r="C24" s="3">
        <f t="shared" si="1"/>
        <v>1</v>
      </c>
      <c r="D24" s="14">
        <f t="shared" si="0"/>
        <v>3</v>
      </c>
    </row>
    <row r="25" spans="1:4" ht="15.75" customHeight="1" x14ac:dyDescent="0.15">
      <c r="A25" s="2" t="s">
        <v>27</v>
      </c>
      <c r="B25" s="11">
        <v>2</v>
      </c>
      <c r="C25" s="3">
        <f t="shared" si="1"/>
        <v>1</v>
      </c>
      <c r="D25" s="14">
        <f t="shared" si="0"/>
        <v>6</v>
      </c>
    </row>
    <row r="26" spans="1:4" ht="15.75" customHeight="1" x14ac:dyDescent="0.15">
      <c r="A26" s="2" t="s">
        <v>28</v>
      </c>
      <c r="B26" s="11">
        <v>3</v>
      </c>
      <c r="C26" s="3">
        <f t="shared" si="1"/>
        <v>1</v>
      </c>
      <c r="D26" s="14">
        <f t="shared" si="0"/>
        <v>9</v>
      </c>
    </row>
    <row r="27" spans="1:4" ht="15.75" customHeight="1" x14ac:dyDescent="0.15">
      <c r="A27" s="2" t="s">
        <v>29</v>
      </c>
      <c r="B27" s="11">
        <v>4</v>
      </c>
      <c r="C27" s="3">
        <f t="shared" si="1"/>
        <v>1</v>
      </c>
      <c r="D27" s="14">
        <f t="shared" si="0"/>
        <v>12</v>
      </c>
    </row>
    <row r="28" spans="1:4" ht="15.75" customHeight="1" x14ac:dyDescent="0.15">
      <c r="A28" s="2" t="s">
        <v>30</v>
      </c>
      <c r="B28" s="11">
        <v>5</v>
      </c>
      <c r="C28" s="3">
        <f t="shared" si="1"/>
        <v>2</v>
      </c>
      <c r="D28" s="14">
        <f t="shared" si="0"/>
        <v>10</v>
      </c>
    </row>
    <row r="29" spans="1:4" ht="15.75" customHeight="1" x14ac:dyDescent="0.15">
      <c r="A29" s="2" t="s">
        <v>31</v>
      </c>
      <c r="B29" s="11">
        <v>6</v>
      </c>
      <c r="C29" s="3">
        <f t="shared" si="1"/>
        <v>2</v>
      </c>
      <c r="D29" s="14">
        <f t="shared" si="0"/>
        <v>12</v>
      </c>
    </row>
    <row r="30" spans="1:4" ht="15.75" customHeight="1" x14ac:dyDescent="0.15">
      <c r="A30" s="2" t="s">
        <v>32</v>
      </c>
      <c r="B30" s="11">
        <v>7</v>
      </c>
      <c r="C30" s="3">
        <f t="shared" si="1"/>
        <v>2</v>
      </c>
      <c r="D30" s="14">
        <f t="shared" si="0"/>
        <v>14</v>
      </c>
    </row>
    <row r="31" spans="1:4" ht="15.75" customHeight="1" x14ac:dyDescent="0.15">
      <c r="A31" s="2" t="s">
        <v>33</v>
      </c>
      <c r="B31" s="11">
        <v>8</v>
      </c>
      <c r="C31" s="3">
        <f t="shared" si="1"/>
        <v>2</v>
      </c>
      <c r="D31" s="14">
        <f t="shared" si="0"/>
        <v>16</v>
      </c>
    </row>
    <row r="32" spans="1:4" ht="15.75" customHeight="1" x14ac:dyDescent="0.15">
      <c r="A32" s="2" t="s">
        <v>34</v>
      </c>
      <c r="B32" s="11">
        <v>9</v>
      </c>
      <c r="C32" s="3">
        <f t="shared" si="1"/>
        <v>2</v>
      </c>
      <c r="D32" s="14">
        <f t="shared" si="0"/>
        <v>18</v>
      </c>
    </row>
    <row r="33" spans="1:4" ht="15.75" customHeight="1" x14ac:dyDescent="0.15">
      <c r="A33" s="2" t="s">
        <v>35</v>
      </c>
      <c r="B33" s="11">
        <v>10</v>
      </c>
      <c r="C33" s="3">
        <f t="shared" si="1"/>
        <v>2</v>
      </c>
      <c r="D33" s="14">
        <f t="shared" si="0"/>
        <v>20</v>
      </c>
    </row>
    <row r="34" spans="1:4" ht="15.75" customHeight="1" x14ac:dyDescent="0.15">
      <c r="A34" s="2" t="s">
        <v>36</v>
      </c>
      <c r="B34" s="11">
        <v>0.5</v>
      </c>
      <c r="C34" s="3">
        <f t="shared" si="1"/>
        <v>0</v>
      </c>
      <c r="D34" s="14">
        <f t="shared" ref="D34:D65" si="2">B34*(VLOOKUP(C34,Costo,2))</f>
        <v>2</v>
      </c>
    </row>
    <row r="35" spans="1:4" ht="15.75" customHeight="1" x14ac:dyDescent="0.15">
      <c r="A35" s="2" t="s">
        <v>37</v>
      </c>
      <c r="B35" s="11">
        <v>1</v>
      </c>
      <c r="C35" s="3">
        <f t="shared" si="1"/>
        <v>0</v>
      </c>
      <c r="D35" s="14">
        <f t="shared" si="2"/>
        <v>4</v>
      </c>
    </row>
    <row r="36" spans="1:4" ht="15.75" customHeight="1" x14ac:dyDescent="0.15">
      <c r="A36" s="2" t="s">
        <v>38</v>
      </c>
      <c r="B36" s="11">
        <v>2</v>
      </c>
      <c r="C36" s="3">
        <f t="shared" si="1"/>
        <v>0</v>
      </c>
      <c r="D36" s="14">
        <f t="shared" si="2"/>
        <v>8</v>
      </c>
    </row>
    <row r="37" spans="1:4" ht="15.75" customHeight="1" x14ac:dyDescent="0.15">
      <c r="A37" s="2" t="s">
        <v>39</v>
      </c>
      <c r="B37" s="11">
        <v>3</v>
      </c>
      <c r="C37" s="3">
        <f t="shared" si="1"/>
        <v>1</v>
      </c>
      <c r="D37" s="14">
        <f t="shared" si="2"/>
        <v>9</v>
      </c>
    </row>
    <row r="38" spans="1:4" ht="15.75" customHeight="1" x14ac:dyDescent="0.15">
      <c r="A38" s="2" t="s">
        <v>40</v>
      </c>
      <c r="B38" s="11">
        <v>4</v>
      </c>
      <c r="C38" s="3">
        <f t="shared" si="1"/>
        <v>1</v>
      </c>
      <c r="D38" s="14">
        <f t="shared" si="2"/>
        <v>12</v>
      </c>
    </row>
    <row r="39" spans="1:4" ht="15.75" customHeight="1" x14ac:dyDescent="0.15">
      <c r="A39" s="2" t="s">
        <v>41</v>
      </c>
      <c r="B39" s="11">
        <v>5</v>
      </c>
      <c r="C39" s="3">
        <f t="shared" si="1"/>
        <v>1</v>
      </c>
      <c r="D39" s="14">
        <f t="shared" si="2"/>
        <v>15</v>
      </c>
    </row>
    <row r="40" spans="1:4" ht="15.75" customHeight="1" x14ac:dyDescent="0.15">
      <c r="A40" s="2" t="s">
        <v>42</v>
      </c>
      <c r="B40" s="11">
        <v>6</v>
      </c>
      <c r="C40" s="3">
        <f t="shared" si="1"/>
        <v>1</v>
      </c>
      <c r="D40" s="14">
        <f t="shared" si="2"/>
        <v>18</v>
      </c>
    </row>
    <row r="41" spans="1:4" ht="15.75" customHeight="1" x14ac:dyDescent="0.15">
      <c r="A41" s="2" t="s">
        <v>43</v>
      </c>
      <c r="B41" s="11">
        <v>7</v>
      </c>
      <c r="C41" s="3">
        <f t="shared" si="1"/>
        <v>2</v>
      </c>
      <c r="D41" s="14">
        <f t="shared" si="2"/>
        <v>14</v>
      </c>
    </row>
    <row r="42" spans="1:4" ht="15.75" customHeight="1" x14ac:dyDescent="0.15">
      <c r="A42" s="2" t="s">
        <v>44</v>
      </c>
      <c r="B42" s="11">
        <v>8</v>
      </c>
      <c r="C42" s="3">
        <f t="shared" si="1"/>
        <v>2</v>
      </c>
      <c r="D42" s="14">
        <f t="shared" si="2"/>
        <v>16</v>
      </c>
    </row>
    <row r="43" spans="1:4" ht="15.75" customHeight="1" x14ac:dyDescent="0.15">
      <c r="A43" s="2" t="s">
        <v>45</v>
      </c>
      <c r="B43" s="11">
        <v>9</v>
      </c>
      <c r="C43" s="3">
        <f t="shared" si="1"/>
        <v>2</v>
      </c>
      <c r="D43" s="14">
        <f t="shared" si="2"/>
        <v>18</v>
      </c>
    </row>
    <row r="44" spans="1:4" ht="15.75" customHeight="1" x14ac:dyDescent="0.15">
      <c r="A44" s="2" t="s">
        <v>7</v>
      </c>
      <c r="B44" s="11">
        <v>10</v>
      </c>
      <c r="C44" s="3">
        <f t="shared" si="1"/>
        <v>2</v>
      </c>
      <c r="D44" s="14">
        <f t="shared" si="2"/>
        <v>20</v>
      </c>
    </row>
    <row r="45" spans="1:4" ht="15.75" customHeight="1" x14ac:dyDescent="0.15">
      <c r="A45" s="2" t="s">
        <v>46</v>
      </c>
      <c r="B45" s="11">
        <v>0.5</v>
      </c>
      <c r="C45" s="3">
        <f t="shared" si="1"/>
        <v>2</v>
      </c>
      <c r="D45" s="14">
        <f t="shared" si="2"/>
        <v>1</v>
      </c>
    </row>
    <row r="46" spans="1:4" ht="13" x14ac:dyDescent="0.15">
      <c r="A46" s="2" t="s">
        <v>47</v>
      </c>
      <c r="B46" s="11">
        <v>1</v>
      </c>
      <c r="C46" s="3">
        <f t="shared" si="1"/>
        <v>2</v>
      </c>
      <c r="D46" s="14">
        <f t="shared" si="2"/>
        <v>2</v>
      </c>
    </row>
    <row r="47" spans="1:4" ht="13" x14ac:dyDescent="0.15">
      <c r="A47" s="2" t="s">
        <v>48</v>
      </c>
      <c r="B47" s="11">
        <v>2</v>
      </c>
      <c r="C47" s="3">
        <f t="shared" si="1"/>
        <v>0</v>
      </c>
      <c r="D47" s="14">
        <f t="shared" si="2"/>
        <v>8</v>
      </c>
    </row>
    <row r="48" spans="1:4" ht="13" x14ac:dyDescent="0.15">
      <c r="A48" s="2" t="s">
        <v>49</v>
      </c>
      <c r="B48" s="11">
        <v>3</v>
      </c>
      <c r="C48" s="3">
        <f t="shared" si="1"/>
        <v>0</v>
      </c>
      <c r="D48" s="14">
        <f t="shared" si="2"/>
        <v>12</v>
      </c>
    </row>
    <row r="49" spans="1:4" ht="13" x14ac:dyDescent="0.15">
      <c r="A49" s="2" t="s">
        <v>50</v>
      </c>
      <c r="B49" s="11">
        <v>4</v>
      </c>
      <c r="C49" s="3">
        <f t="shared" si="1"/>
        <v>0</v>
      </c>
      <c r="D49" s="14">
        <f t="shared" si="2"/>
        <v>16</v>
      </c>
    </row>
    <row r="50" spans="1:4" ht="13" x14ac:dyDescent="0.15">
      <c r="A50" s="2" t="s">
        <v>51</v>
      </c>
      <c r="B50" s="11">
        <v>5</v>
      </c>
      <c r="C50" s="3">
        <f t="shared" si="1"/>
        <v>1</v>
      </c>
      <c r="D50" s="14">
        <f t="shared" si="2"/>
        <v>15</v>
      </c>
    </row>
    <row r="51" spans="1:4" ht="13" x14ac:dyDescent="0.15">
      <c r="A51" s="2" t="s">
        <v>52</v>
      </c>
      <c r="B51" s="11">
        <v>6</v>
      </c>
      <c r="C51" s="3">
        <f t="shared" si="1"/>
        <v>1</v>
      </c>
      <c r="D51" s="14">
        <f t="shared" si="2"/>
        <v>18</v>
      </c>
    </row>
    <row r="52" spans="1:4" ht="13" x14ac:dyDescent="0.15">
      <c r="A52" s="2" t="s">
        <v>53</v>
      </c>
      <c r="B52" s="11">
        <v>7</v>
      </c>
      <c r="C52" s="3">
        <f t="shared" si="1"/>
        <v>1</v>
      </c>
      <c r="D52" s="14">
        <f t="shared" si="2"/>
        <v>21</v>
      </c>
    </row>
    <row r="53" spans="1:4" ht="13" x14ac:dyDescent="0.15">
      <c r="A53" s="2" t="s">
        <v>54</v>
      </c>
      <c r="B53" s="11">
        <v>8</v>
      </c>
      <c r="C53" s="3">
        <f t="shared" si="1"/>
        <v>1</v>
      </c>
      <c r="D53" s="14">
        <f t="shared" si="2"/>
        <v>24</v>
      </c>
    </row>
    <row r="54" spans="1:4" ht="13" x14ac:dyDescent="0.15">
      <c r="A54" s="2" t="s">
        <v>55</v>
      </c>
      <c r="B54" s="11">
        <v>9</v>
      </c>
      <c r="C54" s="3">
        <f t="shared" si="1"/>
        <v>2</v>
      </c>
      <c r="D54" s="14">
        <f t="shared" si="2"/>
        <v>18</v>
      </c>
    </row>
    <row r="55" spans="1:4" ht="13" x14ac:dyDescent="0.15">
      <c r="A55" s="2" t="s">
        <v>56</v>
      </c>
      <c r="B55" s="11">
        <v>10</v>
      </c>
      <c r="C55" s="3">
        <f t="shared" si="1"/>
        <v>2</v>
      </c>
      <c r="D55" s="14">
        <f t="shared" si="2"/>
        <v>20</v>
      </c>
    </row>
    <row r="56" spans="1:4" ht="13" x14ac:dyDescent="0.15">
      <c r="A56" s="2" t="s">
        <v>57</v>
      </c>
      <c r="B56" s="11">
        <v>0.5</v>
      </c>
      <c r="C56" s="3">
        <f t="shared" si="1"/>
        <v>2</v>
      </c>
      <c r="D56" s="14">
        <f t="shared" si="2"/>
        <v>1</v>
      </c>
    </row>
    <row r="57" spans="1:4" ht="13" x14ac:dyDescent="0.15">
      <c r="A57" s="2" t="s">
        <v>58</v>
      </c>
      <c r="B57" s="11">
        <v>1</v>
      </c>
      <c r="C57" s="3">
        <f t="shared" si="1"/>
        <v>2</v>
      </c>
      <c r="D57" s="14">
        <f t="shared" si="2"/>
        <v>2</v>
      </c>
    </row>
    <row r="58" spans="1:4" ht="13" x14ac:dyDescent="0.15">
      <c r="A58" s="2" t="s">
        <v>59</v>
      </c>
      <c r="B58" s="11">
        <v>2</v>
      </c>
      <c r="C58" s="3">
        <f t="shared" si="1"/>
        <v>2</v>
      </c>
      <c r="D58" s="14">
        <f t="shared" si="2"/>
        <v>4</v>
      </c>
    </row>
    <row r="59" spans="1:4" ht="13" x14ac:dyDescent="0.15">
      <c r="A59" s="2" t="s">
        <v>60</v>
      </c>
      <c r="B59" s="11">
        <v>3</v>
      </c>
      <c r="C59" s="3">
        <f t="shared" si="1"/>
        <v>2</v>
      </c>
      <c r="D59" s="14">
        <f t="shared" si="2"/>
        <v>6</v>
      </c>
    </row>
    <row r="60" spans="1:4" ht="13" x14ac:dyDescent="0.15">
      <c r="A60" s="2" t="s">
        <v>61</v>
      </c>
      <c r="B60" s="11">
        <v>4</v>
      </c>
      <c r="C60" s="3">
        <f t="shared" si="1"/>
        <v>0</v>
      </c>
      <c r="D60" s="14">
        <f t="shared" si="2"/>
        <v>16</v>
      </c>
    </row>
    <row r="61" spans="1:4" ht="13" x14ac:dyDescent="0.15">
      <c r="A61" s="2" t="s">
        <v>62</v>
      </c>
      <c r="B61" s="11">
        <v>5</v>
      </c>
      <c r="C61" s="3">
        <f t="shared" si="1"/>
        <v>0</v>
      </c>
      <c r="D61" s="14">
        <f t="shared" si="2"/>
        <v>20</v>
      </c>
    </row>
    <row r="62" spans="1:4" ht="13" x14ac:dyDescent="0.15">
      <c r="A62" s="2" t="s">
        <v>63</v>
      </c>
      <c r="B62" s="11">
        <v>6</v>
      </c>
      <c r="C62" s="3">
        <f t="shared" si="1"/>
        <v>0</v>
      </c>
      <c r="D62" s="14">
        <f t="shared" si="2"/>
        <v>24</v>
      </c>
    </row>
    <row r="63" spans="1:4" ht="13" x14ac:dyDescent="0.15">
      <c r="A63" s="2" t="s">
        <v>64</v>
      </c>
      <c r="B63" s="11">
        <v>7</v>
      </c>
      <c r="C63" s="3">
        <f t="shared" si="1"/>
        <v>1</v>
      </c>
      <c r="D63" s="14">
        <f t="shared" si="2"/>
        <v>21</v>
      </c>
    </row>
    <row r="64" spans="1:4" ht="13" x14ac:dyDescent="0.15">
      <c r="A64" s="2" t="s">
        <v>65</v>
      </c>
      <c r="B64" s="11">
        <v>8</v>
      </c>
      <c r="C64" s="3">
        <f t="shared" si="1"/>
        <v>1</v>
      </c>
      <c r="D64" s="14">
        <f t="shared" si="2"/>
        <v>24</v>
      </c>
    </row>
    <row r="65" spans="1:4" ht="13" x14ac:dyDescent="0.15">
      <c r="A65" s="2" t="s">
        <v>66</v>
      </c>
      <c r="B65" s="11">
        <v>9</v>
      </c>
      <c r="C65" s="3">
        <f t="shared" si="1"/>
        <v>1</v>
      </c>
      <c r="D65" s="14">
        <f t="shared" si="2"/>
        <v>27</v>
      </c>
    </row>
    <row r="66" spans="1:4" ht="13" x14ac:dyDescent="0.15">
      <c r="A66" s="2" t="s">
        <v>67</v>
      </c>
      <c r="B66" s="11">
        <v>10</v>
      </c>
      <c r="C66" s="3">
        <f t="shared" si="1"/>
        <v>1</v>
      </c>
      <c r="D66" s="14">
        <f t="shared" ref="D66:D97" si="3">B66*(VLOOKUP(C66,Costo,2))</f>
        <v>30</v>
      </c>
    </row>
    <row r="67" spans="1:4" ht="13" x14ac:dyDescent="0.15">
      <c r="A67" s="2" t="s">
        <v>68</v>
      </c>
      <c r="B67" s="11">
        <v>0.5</v>
      </c>
      <c r="C67" s="3">
        <f t="shared" ref="C67:C101" si="4">IF(AND(LEFT(A67,1)&gt;="A",LEFT(A67,1)&lt;="F"),0,IF(AND(LEFT(A67,1)&gt;="G",LEFT(A67,1)&lt;="M"),1,IF(AND(LEFT(A67,1)&gt;="N",LEFT(A67,1)&lt;="Z"),2,)))</f>
        <v>2</v>
      </c>
      <c r="D67" s="14">
        <f t="shared" si="3"/>
        <v>1</v>
      </c>
    </row>
    <row r="68" spans="1:4" ht="13" x14ac:dyDescent="0.15">
      <c r="A68" s="2" t="s">
        <v>69</v>
      </c>
      <c r="B68" s="11">
        <v>1</v>
      </c>
      <c r="C68" s="3">
        <f t="shared" si="4"/>
        <v>2</v>
      </c>
      <c r="D68" s="14">
        <f t="shared" si="3"/>
        <v>2</v>
      </c>
    </row>
    <row r="69" spans="1:4" ht="13" x14ac:dyDescent="0.15">
      <c r="A69" s="2" t="s">
        <v>70</v>
      </c>
      <c r="B69" s="11">
        <v>2</v>
      </c>
      <c r="C69" s="3">
        <f t="shared" si="4"/>
        <v>2</v>
      </c>
      <c r="D69" s="14">
        <f t="shared" si="3"/>
        <v>4</v>
      </c>
    </row>
    <row r="70" spans="1:4" ht="13" x14ac:dyDescent="0.15">
      <c r="A70" s="2" t="s">
        <v>71</v>
      </c>
      <c r="B70" s="11">
        <v>3</v>
      </c>
      <c r="C70" s="3">
        <f t="shared" si="4"/>
        <v>2</v>
      </c>
      <c r="D70" s="14">
        <f t="shared" si="3"/>
        <v>6</v>
      </c>
    </row>
    <row r="71" spans="1:4" ht="13" x14ac:dyDescent="0.15">
      <c r="A71" s="2" t="s">
        <v>72</v>
      </c>
      <c r="B71" s="11">
        <v>4</v>
      </c>
      <c r="C71" s="3">
        <f t="shared" si="4"/>
        <v>2</v>
      </c>
      <c r="D71" s="14">
        <f t="shared" si="3"/>
        <v>8</v>
      </c>
    </row>
    <row r="72" spans="1:4" ht="13" x14ac:dyDescent="0.15">
      <c r="A72" s="2" t="s">
        <v>73</v>
      </c>
      <c r="B72" s="11">
        <v>5</v>
      </c>
      <c r="C72" s="3">
        <f t="shared" si="4"/>
        <v>2</v>
      </c>
      <c r="D72" s="14">
        <f t="shared" si="3"/>
        <v>10</v>
      </c>
    </row>
    <row r="73" spans="1:4" ht="13" x14ac:dyDescent="0.15">
      <c r="A73" s="2" t="s">
        <v>74</v>
      </c>
      <c r="B73" s="11">
        <v>6</v>
      </c>
      <c r="C73" s="3">
        <f t="shared" si="4"/>
        <v>0</v>
      </c>
      <c r="D73" s="14">
        <f t="shared" si="3"/>
        <v>24</v>
      </c>
    </row>
    <row r="74" spans="1:4" ht="13" x14ac:dyDescent="0.15">
      <c r="A74" s="2" t="s">
        <v>75</v>
      </c>
      <c r="B74" s="11">
        <v>7</v>
      </c>
      <c r="C74" s="3">
        <f t="shared" si="4"/>
        <v>0</v>
      </c>
      <c r="D74" s="14">
        <f t="shared" si="3"/>
        <v>28</v>
      </c>
    </row>
    <row r="75" spans="1:4" ht="13" x14ac:dyDescent="0.15">
      <c r="A75" s="2" t="s">
        <v>76</v>
      </c>
      <c r="B75" s="11">
        <v>8</v>
      </c>
      <c r="C75" s="3">
        <f t="shared" si="4"/>
        <v>0</v>
      </c>
      <c r="D75" s="14">
        <f t="shared" si="3"/>
        <v>32</v>
      </c>
    </row>
    <row r="76" spans="1:4" ht="13" x14ac:dyDescent="0.15">
      <c r="A76" s="2" t="s">
        <v>77</v>
      </c>
      <c r="B76" s="11">
        <v>9</v>
      </c>
      <c r="C76" s="3">
        <f t="shared" si="4"/>
        <v>1</v>
      </c>
      <c r="D76" s="14">
        <f t="shared" si="3"/>
        <v>27</v>
      </c>
    </row>
    <row r="77" spans="1:4" ht="13" x14ac:dyDescent="0.15">
      <c r="A77" s="2" t="s">
        <v>78</v>
      </c>
      <c r="B77" s="11">
        <v>10</v>
      </c>
      <c r="C77" s="3">
        <f t="shared" si="4"/>
        <v>1</v>
      </c>
      <c r="D77" s="14">
        <f t="shared" si="3"/>
        <v>30</v>
      </c>
    </row>
    <row r="78" spans="1:4" ht="13" x14ac:dyDescent="0.15">
      <c r="A78" s="2" t="s">
        <v>79</v>
      </c>
      <c r="B78" s="11">
        <v>0.5</v>
      </c>
      <c r="C78" s="3">
        <f t="shared" si="4"/>
        <v>1</v>
      </c>
      <c r="D78" s="14">
        <f t="shared" si="3"/>
        <v>1.5</v>
      </c>
    </row>
    <row r="79" spans="1:4" ht="13" x14ac:dyDescent="0.15">
      <c r="A79" s="2" t="s">
        <v>80</v>
      </c>
      <c r="B79" s="11">
        <v>1</v>
      </c>
      <c r="C79" s="3">
        <f t="shared" si="4"/>
        <v>1</v>
      </c>
      <c r="D79" s="14">
        <f t="shared" si="3"/>
        <v>3</v>
      </c>
    </row>
    <row r="80" spans="1:4" ht="13" x14ac:dyDescent="0.15">
      <c r="A80" s="2" t="s">
        <v>81</v>
      </c>
      <c r="B80" s="11">
        <v>2</v>
      </c>
      <c r="C80" s="3">
        <f t="shared" si="4"/>
        <v>2</v>
      </c>
      <c r="D80" s="14">
        <f t="shared" si="3"/>
        <v>4</v>
      </c>
    </row>
    <row r="81" spans="1:4" ht="13" x14ac:dyDescent="0.15">
      <c r="A81" s="2" t="s">
        <v>82</v>
      </c>
      <c r="B81" s="11">
        <v>3</v>
      </c>
      <c r="C81" s="3">
        <f t="shared" si="4"/>
        <v>2</v>
      </c>
      <c r="D81" s="14">
        <f t="shared" si="3"/>
        <v>6</v>
      </c>
    </row>
    <row r="82" spans="1:4" ht="13" x14ac:dyDescent="0.15">
      <c r="A82" s="2" t="s">
        <v>83</v>
      </c>
      <c r="B82" s="11">
        <v>4</v>
      </c>
      <c r="C82" s="3">
        <f t="shared" si="4"/>
        <v>2</v>
      </c>
      <c r="D82" s="14">
        <f t="shared" si="3"/>
        <v>8</v>
      </c>
    </row>
    <row r="83" spans="1:4" ht="13" x14ac:dyDescent="0.15">
      <c r="A83" s="2" t="s">
        <v>84</v>
      </c>
      <c r="B83" s="11">
        <v>5</v>
      </c>
      <c r="C83" s="3">
        <f t="shared" si="4"/>
        <v>2</v>
      </c>
      <c r="D83" s="14">
        <f t="shared" si="3"/>
        <v>10</v>
      </c>
    </row>
    <row r="84" spans="1:4" ht="13" x14ac:dyDescent="0.15">
      <c r="A84" s="2" t="s">
        <v>85</v>
      </c>
      <c r="B84" s="11">
        <v>6</v>
      </c>
      <c r="C84" s="3">
        <f t="shared" si="4"/>
        <v>2</v>
      </c>
      <c r="D84" s="14">
        <f t="shared" si="3"/>
        <v>12</v>
      </c>
    </row>
    <row r="85" spans="1:4" ht="13" x14ac:dyDescent="0.15">
      <c r="A85" s="2" t="s">
        <v>86</v>
      </c>
      <c r="B85" s="11">
        <v>7</v>
      </c>
      <c r="C85" s="3">
        <f t="shared" si="4"/>
        <v>2</v>
      </c>
      <c r="D85" s="14">
        <f t="shared" si="3"/>
        <v>14</v>
      </c>
    </row>
    <row r="86" spans="1:4" ht="13" x14ac:dyDescent="0.15">
      <c r="A86" s="2" t="s">
        <v>87</v>
      </c>
      <c r="B86" s="11">
        <v>8</v>
      </c>
      <c r="C86" s="3">
        <f t="shared" si="4"/>
        <v>0</v>
      </c>
      <c r="D86" s="14">
        <f t="shared" si="3"/>
        <v>32</v>
      </c>
    </row>
    <row r="87" spans="1:4" ht="13" x14ac:dyDescent="0.15">
      <c r="A87" s="2" t="s">
        <v>88</v>
      </c>
      <c r="B87" s="11">
        <v>9</v>
      </c>
      <c r="C87" s="3">
        <f t="shared" si="4"/>
        <v>0</v>
      </c>
      <c r="D87" s="14">
        <f t="shared" si="3"/>
        <v>36</v>
      </c>
    </row>
    <row r="88" spans="1:4" ht="13" x14ac:dyDescent="0.15">
      <c r="A88" s="2" t="s">
        <v>89</v>
      </c>
      <c r="B88" s="11">
        <v>10</v>
      </c>
      <c r="C88" s="3">
        <f t="shared" si="4"/>
        <v>0</v>
      </c>
      <c r="D88" s="14">
        <f t="shared" si="3"/>
        <v>40</v>
      </c>
    </row>
    <row r="89" spans="1:4" ht="13" x14ac:dyDescent="0.15">
      <c r="A89" s="2" t="s">
        <v>90</v>
      </c>
      <c r="B89" s="11">
        <v>0.5</v>
      </c>
      <c r="C89" s="3">
        <f t="shared" si="4"/>
        <v>1</v>
      </c>
      <c r="D89" s="14">
        <f t="shared" si="3"/>
        <v>1.5</v>
      </c>
    </row>
    <row r="90" spans="1:4" ht="13" x14ac:dyDescent="0.15">
      <c r="A90" s="2" t="s">
        <v>91</v>
      </c>
      <c r="B90" s="11">
        <v>1</v>
      </c>
      <c r="C90" s="3">
        <f t="shared" si="4"/>
        <v>1</v>
      </c>
      <c r="D90" s="14">
        <f t="shared" si="3"/>
        <v>3</v>
      </c>
    </row>
    <row r="91" spans="1:4" ht="13" x14ac:dyDescent="0.15">
      <c r="A91" s="2" t="s">
        <v>92</v>
      </c>
      <c r="B91" s="11">
        <v>2</v>
      </c>
      <c r="C91" s="3">
        <f t="shared" si="4"/>
        <v>1</v>
      </c>
      <c r="D91" s="14">
        <f t="shared" si="3"/>
        <v>6</v>
      </c>
    </row>
    <row r="92" spans="1:4" ht="13" x14ac:dyDescent="0.15">
      <c r="A92" s="2" t="s">
        <v>93</v>
      </c>
      <c r="B92" s="11">
        <v>3</v>
      </c>
      <c r="C92" s="3">
        <f t="shared" si="4"/>
        <v>1</v>
      </c>
      <c r="D92" s="14">
        <f t="shared" si="3"/>
        <v>9</v>
      </c>
    </row>
    <row r="93" spans="1:4" ht="13" x14ac:dyDescent="0.15">
      <c r="A93" s="2" t="s">
        <v>94</v>
      </c>
      <c r="B93" s="11">
        <v>4</v>
      </c>
      <c r="C93" s="3">
        <f t="shared" si="4"/>
        <v>2</v>
      </c>
      <c r="D93" s="14">
        <f t="shared" si="3"/>
        <v>8</v>
      </c>
    </row>
    <row r="94" spans="1:4" ht="13" x14ac:dyDescent="0.15">
      <c r="A94" s="2" t="s">
        <v>95</v>
      </c>
      <c r="B94" s="11">
        <v>5</v>
      </c>
      <c r="C94" s="3">
        <f t="shared" si="4"/>
        <v>2</v>
      </c>
      <c r="D94" s="14">
        <f t="shared" si="3"/>
        <v>10</v>
      </c>
    </row>
    <row r="95" spans="1:4" ht="13" x14ac:dyDescent="0.15">
      <c r="A95" s="2" t="s">
        <v>96</v>
      </c>
      <c r="B95" s="11">
        <v>6</v>
      </c>
      <c r="C95" s="3">
        <f t="shared" si="4"/>
        <v>2</v>
      </c>
      <c r="D95" s="14">
        <f t="shared" si="3"/>
        <v>12</v>
      </c>
    </row>
    <row r="96" spans="1:4" ht="13" x14ac:dyDescent="0.15">
      <c r="A96" s="2" t="s">
        <v>97</v>
      </c>
      <c r="B96" s="11">
        <v>7</v>
      </c>
      <c r="C96" s="3">
        <f t="shared" si="4"/>
        <v>2</v>
      </c>
      <c r="D96" s="14">
        <f t="shared" si="3"/>
        <v>14</v>
      </c>
    </row>
    <row r="97" spans="1:4" ht="13" x14ac:dyDescent="0.15">
      <c r="A97" s="2" t="s">
        <v>98</v>
      </c>
      <c r="B97" s="11">
        <v>8</v>
      </c>
      <c r="C97" s="3">
        <f t="shared" si="4"/>
        <v>2</v>
      </c>
      <c r="D97" s="14">
        <f t="shared" si="3"/>
        <v>16</v>
      </c>
    </row>
    <row r="98" spans="1:4" ht="13" x14ac:dyDescent="0.15">
      <c r="A98" s="2" t="s">
        <v>99</v>
      </c>
      <c r="B98" s="11">
        <v>9</v>
      </c>
      <c r="C98" s="3">
        <f t="shared" si="4"/>
        <v>2</v>
      </c>
      <c r="D98" s="14">
        <f t="shared" ref="D98:D129" si="5">B98*(VLOOKUP(C98,Costo,2))</f>
        <v>18</v>
      </c>
    </row>
    <row r="99" spans="1:4" ht="13" x14ac:dyDescent="0.15">
      <c r="A99" s="2" t="s">
        <v>100</v>
      </c>
      <c r="B99" s="11">
        <v>10</v>
      </c>
      <c r="C99" s="3">
        <f t="shared" si="4"/>
        <v>0</v>
      </c>
      <c r="D99" s="14">
        <f t="shared" si="5"/>
        <v>40</v>
      </c>
    </row>
    <row r="100" spans="1:4" ht="13" x14ac:dyDescent="0.15">
      <c r="A100" s="2" t="s">
        <v>101</v>
      </c>
      <c r="B100" s="11">
        <v>0.5</v>
      </c>
      <c r="C100" s="3">
        <f t="shared" si="4"/>
        <v>0</v>
      </c>
      <c r="D100" s="14">
        <f t="shared" si="5"/>
        <v>2</v>
      </c>
    </row>
    <row r="101" spans="1:4" ht="13" x14ac:dyDescent="0.15">
      <c r="A101" s="2" t="s">
        <v>102</v>
      </c>
      <c r="B101" s="11">
        <v>1</v>
      </c>
      <c r="C101" s="3">
        <f t="shared" si="4"/>
        <v>0</v>
      </c>
      <c r="D101" s="14">
        <f t="shared" si="5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zoomScaleNormal="149" workbookViewId="0">
      <selection activeCell="H16" sqref="H16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  <col min="5" max="5" width="19.5" bestFit="1" customWidth="1"/>
  </cols>
  <sheetData>
    <row r="1" spans="1:26" ht="15.75" customHeight="1" x14ac:dyDescent="0.15">
      <c r="A1" s="6" t="s">
        <v>103</v>
      </c>
      <c r="B1" s="6" t="s">
        <v>104</v>
      </c>
      <c r="C1" s="6" t="s">
        <v>3</v>
      </c>
      <c r="D1" s="7" t="s">
        <v>111</v>
      </c>
      <c r="E1" s="7" t="s">
        <v>110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105</v>
      </c>
      <c r="B2" s="2">
        <v>55</v>
      </c>
      <c r="D2" s="8" t="s">
        <v>105</v>
      </c>
      <c r="E2" s="3">
        <f>COUNTIF(A2:A47,"Mela")</f>
        <v>11</v>
      </c>
    </row>
    <row r="3" spans="1:26" ht="15.75" customHeight="1" x14ac:dyDescent="0.15">
      <c r="A3" s="2" t="s">
        <v>106</v>
      </c>
      <c r="B3" s="2">
        <v>70</v>
      </c>
      <c r="C3" s="2">
        <v>80</v>
      </c>
      <c r="D3" s="8" t="s">
        <v>106</v>
      </c>
      <c r="E3" s="3">
        <f>COUNTIF(A3:A48,"Banana")</f>
        <v>14</v>
      </c>
    </row>
    <row r="4" spans="1:26" ht="15.75" customHeight="1" x14ac:dyDescent="0.15">
      <c r="A4" s="2" t="s">
        <v>107</v>
      </c>
      <c r="B4" s="2">
        <v>40</v>
      </c>
      <c r="C4" s="2">
        <v>60</v>
      </c>
      <c r="D4" s="8" t="s">
        <v>107</v>
      </c>
      <c r="E4" s="3">
        <f>COUNTIF(A4:A49,"Arancia")</f>
        <v>11</v>
      </c>
    </row>
    <row r="5" spans="1:26" ht="15.75" customHeight="1" x14ac:dyDescent="0.15">
      <c r="A5" s="2" t="s">
        <v>105</v>
      </c>
      <c r="B5" s="2">
        <v>20</v>
      </c>
      <c r="C5" s="2">
        <v>100</v>
      </c>
      <c r="D5" s="8" t="s">
        <v>108</v>
      </c>
      <c r="E5" s="3">
        <f>COUNTIF(A5:A50,"Pera")</f>
        <v>7</v>
      </c>
    </row>
    <row r="6" spans="1:26" ht="15.75" customHeight="1" x14ac:dyDescent="0.15">
      <c r="A6" s="2" t="s">
        <v>108</v>
      </c>
      <c r="B6" s="2">
        <v>90</v>
      </c>
      <c r="C6" s="2">
        <v>30</v>
      </c>
      <c r="D6" s="8" t="s">
        <v>109</v>
      </c>
      <c r="E6" s="3">
        <f>COUNTIF(A6:A51,"Uva")</f>
        <v>3</v>
      </c>
    </row>
    <row r="7" spans="1:26" ht="15.75" customHeight="1" x14ac:dyDescent="0.15">
      <c r="A7" s="2" t="s">
        <v>106</v>
      </c>
      <c r="B7" s="2">
        <v>50</v>
      </c>
      <c r="C7" s="2">
        <v>40</v>
      </c>
    </row>
    <row r="8" spans="1:26" ht="15.75" customHeight="1" x14ac:dyDescent="0.15">
      <c r="A8" s="2" t="s">
        <v>107</v>
      </c>
      <c r="B8" s="2">
        <v>60</v>
      </c>
      <c r="C8" s="2">
        <v>55</v>
      </c>
    </row>
    <row r="9" spans="1:26" ht="15.75" customHeight="1" x14ac:dyDescent="0.15">
      <c r="A9" s="2" t="s">
        <v>105</v>
      </c>
      <c r="B9" s="2">
        <v>45</v>
      </c>
    </row>
    <row r="10" spans="1:26" ht="15.75" customHeight="1" x14ac:dyDescent="0.15">
      <c r="A10" s="2" t="s">
        <v>106</v>
      </c>
      <c r="B10" s="2">
        <v>25</v>
      </c>
      <c r="C10" s="2">
        <v>85</v>
      </c>
      <c r="E10" s="4" t="s">
        <v>112</v>
      </c>
    </row>
    <row r="11" spans="1:26" ht="15.75" customHeight="1" x14ac:dyDescent="0.15">
      <c r="A11" s="2" t="s">
        <v>108</v>
      </c>
      <c r="B11" s="2">
        <v>35</v>
      </c>
      <c r="C11" s="2">
        <v>50</v>
      </c>
      <c r="D11" s="8" t="s">
        <v>105</v>
      </c>
      <c r="E11" s="3">
        <f>SUMIF(A2:A47,"Mela",B2:B47)</f>
        <v>525</v>
      </c>
    </row>
    <row r="12" spans="1:26" ht="15.75" customHeight="1" x14ac:dyDescent="0.15">
      <c r="A12" s="2" t="s">
        <v>109</v>
      </c>
      <c r="B12" s="2">
        <v>60</v>
      </c>
      <c r="C12" s="2">
        <v>95</v>
      </c>
      <c r="D12" s="8" t="s">
        <v>106</v>
      </c>
      <c r="E12" s="3">
        <f>SUMIF(A3:A48,"Banana",B3:B48)</f>
        <v>755</v>
      </c>
    </row>
    <row r="13" spans="1:26" ht="15.75" customHeight="1" x14ac:dyDescent="0.15">
      <c r="A13" s="2" t="s">
        <v>107</v>
      </c>
      <c r="B13" s="2">
        <v>80</v>
      </c>
      <c r="D13" s="8" t="s">
        <v>107</v>
      </c>
      <c r="E13" s="3">
        <f>SUMIF(A4:A49,"Arancia",B4:B49)</f>
        <v>555</v>
      </c>
    </row>
    <row r="14" spans="1:26" ht="15.75" customHeight="1" x14ac:dyDescent="0.15">
      <c r="A14" s="2" t="s">
        <v>106</v>
      </c>
      <c r="B14" s="2">
        <v>40</v>
      </c>
      <c r="C14" s="2">
        <v>45</v>
      </c>
      <c r="D14" s="8" t="s">
        <v>108</v>
      </c>
      <c r="E14" s="3">
        <f>SUMIF(A5:A50,"Pera",B5:B50)</f>
        <v>380</v>
      </c>
    </row>
    <row r="15" spans="1:26" ht="15.75" customHeight="1" x14ac:dyDescent="0.15">
      <c r="A15" s="2" t="s">
        <v>105</v>
      </c>
      <c r="B15" s="2">
        <v>65</v>
      </c>
      <c r="C15" s="2">
        <v>65</v>
      </c>
      <c r="D15" s="8" t="s">
        <v>109</v>
      </c>
      <c r="E15" s="3">
        <f>SUMIF(A6:A51,"Uva",B6:B51)</f>
        <v>160</v>
      </c>
    </row>
    <row r="16" spans="1:26" ht="15.75" customHeight="1" x14ac:dyDescent="0.15">
      <c r="A16" s="2" t="s">
        <v>107</v>
      </c>
      <c r="B16" s="2">
        <v>55</v>
      </c>
      <c r="C16" s="2">
        <v>30</v>
      </c>
    </row>
    <row r="17" spans="1:5" ht="15.75" customHeight="1" x14ac:dyDescent="0.15">
      <c r="A17" s="2" t="s">
        <v>108</v>
      </c>
      <c r="B17" s="2">
        <v>70</v>
      </c>
    </row>
    <row r="18" spans="1:5" ht="15.75" customHeight="1" x14ac:dyDescent="0.15">
      <c r="A18" s="2" t="s">
        <v>106</v>
      </c>
      <c r="B18" s="2">
        <v>45</v>
      </c>
      <c r="C18" s="2">
        <v>80</v>
      </c>
    </row>
    <row r="19" spans="1:5" ht="15.75" customHeight="1" x14ac:dyDescent="0.15">
      <c r="A19" s="2" t="s">
        <v>105</v>
      </c>
      <c r="B19" s="2">
        <v>25</v>
      </c>
      <c r="C19" s="2">
        <v>60</v>
      </c>
      <c r="E19" s="4" t="s">
        <v>113</v>
      </c>
    </row>
    <row r="20" spans="1:5" ht="15.75" customHeight="1" x14ac:dyDescent="0.15">
      <c r="A20" s="2" t="s">
        <v>106</v>
      </c>
      <c r="B20" s="2">
        <v>35</v>
      </c>
      <c r="D20" s="8" t="s">
        <v>105</v>
      </c>
      <c r="E20" s="5">
        <f>SUMIFS(C2:C47, A2:A47, "Mela", B2:B47, "&gt;80")</f>
        <v>0</v>
      </c>
    </row>
    <row r="21" spans="1:5" ht="15.75" customHeight="1" x14ac:dyDescent="0.15">
      <c r="A21" s="2" t="s">
        <v>107</v>
      </c>
      <c r="B21" s="2">
        <v>60</v>
      </c>
      <c r="C21" s="2">
        <v>30</v>
      </c>
    </row>
    <row r="22" spans="1:5" ht="15.75" customHeight="1" x14ac:dyDescent="0.15">
      <c r="A22" s="2" t="s">
        <v>105</v>
      </c>
      <c r="B22" s="2">
        <v>70</v>
      </c>
      <c r="C22" s="2">
        <v>40</v>
      </c>
    </row>
    <row r="23" spans="1:5" ht="15.75" customHeight="1" x14ac:dyDescent="0.15">
      <c r="A23" s="2" t="s">
        <v>106</v>
      </c>
      <c r="B23" s="2">
        <v>45</v>
      </c>
      <c r="C23" s="2">
        <v>55</v>
      </c>
    </row>
    <row r="24" spans="1:5" ht="15.75" customHeight="1" x14ac:dyDescent="0.15">
      <c r="A24" s="2" t="s">
        <v>108</v>
      </c>
      <c r="B24" s="2">
        <v>25</v>
      </c>
      <c r="C24" s="2">
        <v>70</v>
      </c>
    </row>
    <row r="25" spans="1:5" ht="15.75" customHeight="1" x14ac:dyDescent="0.15">
      <c r="A25" s="2" t="s">
        <v>109</v>
      </c>
      <c r="B25" s="2">
        <v>35</v>
      </c>
    </row>
    <row r="26" spans="1:5" ht="15.75" customHeight="1" x14ac:dyDescent="0.15">
      <c r="A26" s="2" t="s">
        <v>107</v>
      </c>
      <c r="B26" s="2">
        <v>60</v>
      </c>
      <c r="C26" s="2">
        <v>50</v>
      </c>
    </row>
    <row r="27" spans="1:5" ht="15.75" customHeight="1" x14ac:dyDescent="0.15">
      <c r="A27" s="2" t="s">
        <v>106</v>
      </c>
      <c r="B27" s="2">
        <v>80</v>
      </c>
      <c r="C27" s="2">
        <v>95</v>
      </c>
    </row>
    <row r="28" spans="1:5" ht="15.75" customHeight="1" x14ac:dyDescent="0.15">
      <c r="A28" s="2" t="s">
        <v>105</v>
      </c>
      <c r="B28" s="2">
        <v>40</v>
      </c>
      <c r="C28" s="2">
        <v>75</v>
      </c>
    </row>
    <row r="29" spans="1:5" ht="15.75" customHeight="1" x14ac:dyDescent="0.15">
      <c r="A29" s="2" t="s">
        <v>107</v>
      </c>
      <c r="B29" s="2">
        <v>65</v>
      </c>
      <c r="C29" s="2">
        <v>45</v>
      </c>
    </row>
    <row r="30" spans="1:5" ht="15.75" customHeight="1" x14ac:dyDescent="0.15">
      <c r="A30" s="2" t="s">
        <v>106</v>
      </c>
      <c r="B30" s="2">
        <v>55</v>
      </c>
      <c r="C30" s="2">
        <v>65</v>
      </c>
    </row>
    <row r="31" spans="1:5" ht="15.75" customHeight="1" x14ac:dyDescent="0.15">
      <c r="A31" s="2" t="s">
        <v>108</v>
      </c>
      <c r="B31" s="2">
        <v>70</v>
      </c>
      <c r="C31" s="2">
        <v>30</v>
      </c>
    </row>
    <row r="32" spans="1:5" ht="15.75" customHeight="1" x14ac:dyDescent="0.15">
      <c r="A32" s="2" t="s">
        <v>105</v>
      </c>
      <c r="B32" s="2">
        <v>45</v>
      </c>
    </row>
    <row r="33" spans="1:3" ht="15.75" customHeight="1" x14ac:dyDescent="0.15">
      <c r="A33" s="2" t="s">
        <v>106</v>
      </c>
      <c r="B33" s="2">
        <v>25</v>
      </c>
      <c r="C33" s="2">
        <v>80</v>
      </c>
    </row>
    <row r="34" spans="1:3" ht="15.75" customHeight="1" x14ac:dyDescent="0.15">
      <c r="A34" s="2" t="s">
        <v>107</v>
      </c>
      <c r="B34" s="2">
        <v>35</v>
      </c>
      <c r="C34" s="2">
        <v>60</v>
      </c>
    </row>
    <row r="35" spans="1:3" ht="15.75" customHeight="1" x14ac:dyDescent="0.15">
      <c r="A35" s="2" t="s">
        <v>105</v>
      </c>
      <c r="B35" s="2">
        <v>60</v>
      </c>
      <c r="C35" s="2">
        <v>100</v>
      </c>
    </row>
    <row r="36" spans="1:3" ht="15.75" customHeight="1" x14ac:dyDescent="0.15">
      <c r="A36" s="2" t="s">
        <v>106</v>
      </c>
      <c r="B36" s="2">
        <v>80</v>
      </c>
      <c r="C36" s="2">
        <v>30</v>
      </c>
    </row>
    <row r="37" spans="1:3" ht="15.75" customHeight="1" x14ac:dyDescent="0.15">
      <c r="A37" s="2" t="s">
        <v>108</v>
      </c>
      <c r="B37" s="2">
        <v>40</v>
      </c>
    </row>
    <row r="38" spans="1:3" ht="15.75" customHeight="1" x14ac:dyDescent="0.15">
      <c r="A38" s="2" t="s">
        <v>109</v>
      </c>
      <c r="B38" s="2">
        <v>65</v>
      </c>
      <c r="C38" s="2">
        <v>55</v>
      </c>
    </row>
    <row r="39" spans="1:3" ht="15.75" customHeight="1" x14ac:dyDescent="0.15">
      <c r="A39" s="2" t="s">
        <v>107</v>
      </c>
      <c r="B39" s="2">
        <v>55</v>
      </c>
      <c r="C39" s="2">
        <v>70</v>
      </c>
    </row>
    <row r="40" spans="1:3" ht="15.75" customHeight="1" x14ac:dyDescent="0.15">
      <c r="A40" s="2" t="s">
        <v>106</v>
      </c>
      <c r="B40" s="2">
        <v>70</v>
      </c>
      <c r="C40" s="2">
        <v>85</v>
      </c>
    </row>
    <row r="41" spans="1:3" ht="15.75" customHeight="1" x14ac:dyDescent="0.15">
      <c r="A41" s="2" t="s">
        <v>105</v>
      </c>
      <c r="B41" s="2">
        <v>40</v>
      </c>
      <c r="C41" s="2">
        <v>50</v>
      </c>
    </row>
    <row r="42" spans="1:3" ht="15.75" customHeight="1" x14ac:dyDescent="0.15">
      <c r="A42" s="2" t="s">
        <v>107</v>
      </c>
      <c r="B42" s="2">
        <v>20</v>
      </c>
      <c r="C42" s="2">
        <v>95</v>
      </c>
    </row>
    <row r="43" spans="1:3" ht="15.75" customHeight="1" x14ac:dyDescent="0.15">
      <c r="A43" s="2" t="s">
        <v>106</v>
      </c>
      <c r="B43" s="2">
        <v>90</v>
      </c>
      <c r="C43" s="2">
        <v>75</v>
      </c>
    </row>
    <row r="44" spans="1:3" ht="15.75" customHeight="1" x14ac:dyDescent="0.15">
      <c r="A44" s="2" t="s">
        <v>108</v>
      </c>
      <c r="B44" s="2">
        <v>50</v>
      </c>
      <c r="C44" s="2">
        <v>45</v>
      </c>
    </row>
    <row r="45" spans="1:3" ht="15.75" customHeight="1" x14ac:dyDescent="0.15">
      <c r="A45" s="2" t="s">
        <v>105</v>
      </c>
      <c r="B45" s="2">
        <v>60</v>
      </c>
      <c r="C45" s="2">
        <v>65</v>
      </c>
    </row>
    <row r="46" spans="1:3" ht="13" x14ac:dyDescent="0.15">
      <c r="A46" s="2" t="s">
        <v>106</v>
      </c>
      <c r="B46" s="2">
        <v>45</v>
      </c>
    </row>
    <row r="47" spans="1:3" ht="13" x14ac:dyDescent="0.1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Parcheggio</vt:lpstr>
      <vt:lpstr>Frutta</vt:lpstr>
      <vt:lpstr>Categoria</vt:lpstr>
      <vt:lpstr>Cerca</vt:lpstr>
      <vt:lpstr>Costo</vt:lpstr>
      <vt:lpstr>Minuti</vt:lpstr>
      <vt:lpstr>Ore</vt:lpstr>
      <vt:lpstr>Prezzo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Solla</cp:lastModifiedBy>
  <dcterms:created xsi:type="dcterms:W3CDTF">2025-04-17T00:41:15Z</dcterms:created>
  <dcterms:modified xsi:type="dcterms:W3CDTF">2025-04-17T13:13:15Z</dcterms:modified>
</cp:coreProperties>
</file>